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Excel\MIcrofinan Data Dashboard\"/>
    </mc:Choice>
  </mc:AlternateContent>
  <xr:revisionPtr revIDLastSave="0" documentId="13_ncr:1_{F9B02324-A4FC-46EE-BAEF-C29324251607}" xr6:coauthVersionLast="47" xr6:coauthVersionMax="47" xr10:uidLastSave="{00000000-0000-0000-0000-000000000000}"/>
  <bookViews>
    <workbookView xWindow="-108" yWindow="-108" windowWidth="23256" windowHeight="12576" xr2:uid="{4C28D1C0-097E-4E48-8F7D-A0E3128AE498}"/>
  </bookViews>
  <sheets>
    <sheet name="Dashboard" sheetId="3" r:id="rId1"/>
    <sheet name="Pivot Table" sheetId="2" r:id="rId2"/>
    <sheet name="Field Data 2024" sheetId="1" r:id="rId3"/>
  </sheets>
  <definedNames>
    <definedName name="_xlcn.WorksheetConnection_Book1Data_Table" hidden="1">Data_Table[]</definedName>
    <definedName name="Slicer_Month__Month">#N/A</definedName>
  </definedNames>
  <calcPr calcId="191029"/>
  <pivotCaches>
    <pivotCache cacheId="0" r:id="rId4"/>
    <pivotCache cacheId="1" r:id="rId5"/>
    <pivotCache cacheId="2" r:id="rId6"/>
  </pivotCaches>
  <extLst>
    <ext xmlns:x14="http://schemas.microsoft.com/office/spreadsheetml/2009/9/main" uri="{876F7934-8845-4945-9796-88D515C7AA90}">
      <x14:pivotCaches>
        <pivotCache cacheId="3"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Table" name="Data_Table" connection="WorksheetConnection_Book1!Data_Table"/>
        </x15:modelTables>
        <x15:extLst>
          <ext xmlns:x16="http://schemas.microsoft.com/office/spreadsheetml/2014/11/main" uri="{9835A34E-60A6-4A7C-AAB8-D5F71C897F49}">
            <x16:modelTimeGroupings>
              <x16:modelTimeGrouping tableName="Data_Table" columnName="Month" columnId="Month">
                <x16:calculatedTimeColumn columnName="Month (Month Index)" columnId="Month (Month Index)" contentType="monthsindex" isSelected="1"/>
                <x16:calculatedTimeColumn columnName="Month (Month)" columnId="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506C4F-D5A2-4A51-B92A-774AE5CA9C2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3AEAB2A1-2163-4DA8-808D-0F0AA6A66C10}" name="WorksheetConnection_Book1!Data_Table" type="102" refreshedVersion="8" minRefreshableVersion="5">
    <extLst>
      <ext xmlns:x15="http://schemas.microsoft.com/office/spreadsheetml/2010/11/main" uri="{DE250136-89BD-433C-8126-D09CA5730AF9}">
        <x15:connection id="Data_Table">
          <x15:rangePr sourceName="_xlcn.WorksheetConnection_Book1Data_Table"/>
        </x15:connection>
      </ext>
    </extLst>
  </connection>
</connections>
</file>

<file path=xl/sharedStrings.xml><?xml version="1.0" encoding="utf-8"?>
<sst xmlns="http://schemas.openxmlformats.org/spreadsheetml/2006/main" count="54" uniqueCount="26">
  <si>
    <t>Month</t>
  </si>
  <si>
    <t>Active Borrowers</t>
  </si>
  <si>
    <t>Target Disbursment</t>
  </si>
  <si>
    <t>Actual Disbursment</t>
  </si>
  <si>
    <t>Target Collection</t>
  </si>
  <si>
    <t>Actual Collection</t>
  </si>
  <si>
    <t>Overdue Amount</t>
  </si>
  <si>
    <t>May</t>
  </si>
  <si>
    <t>Row Labels</t>
  </si>
  <si>
    <t>Grand Total</t>
  </si>
  <si>
    <t>Jan</t>
  </si>
  <si>
    <t>Feb</t>
  </si>
  <si>
    <t>Mar</t>
  </si>
  <si>
    <t>Apr</t>
  </si>
  <si>
    <t>Jun</t>
  </si>
  <si>
    <t>Jul</t>
  </si>
  <si>
    <t>Aug</t>
  </si>
  <si>
    <t>Sep</t>
  </si>
  <si>
    <t>Oct</t>
  </si>
  <si>
    <t>Nov</t>
  </si>
  <si>
    <t>Dec</t>
  </si>
  <si>
    <t>Total_Target_Disb</t>
  </si>
  <si>
    <t>Total_Actual_Disb</t>
  </si>
  <si>
    <t>Total_Target_Coll</t>
  </si>
  <si>
    <t>Total_Actual_Coll</t>
  </si>
  <si>
    <t>Total_Overdue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</si>
</sst>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7" fontId="0" fillId="0" borderId="0" xfId="0" applyNumberFormat="1"/>
    <xf numFmtId="0" fontId="2" fillId="0" borderId="0" xfId="0" applyFont="1" applyAlignment="1">
      <alignment horizontal="center" vertic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
    <dxf>
      <numFmt numFmtId="22" formatCode="mmm\-yy"/>
    </dxf>
    <dxf>
      <font>
        <b/>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openxmlformats.org/officeDocument/2006/relationships/pivotCacheDefinition" Target="pivotCache/pivotCacheDefinition4.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24" Type="http://schemas.openxmlformats.org/officeDocument/2006/relationships/customXml" Target="../customXml/item11.xml"/><Relationship Id="rId32" Type="http://schemas.openxmlformats.org/officeDocument/2006/relationships/customXml" Target="../customXml/item19.xml"/><Relationship Id="rId5" Type="http://schemas.openxmlformats.org/officeDocument/2006/relationships/pivotCacheDefinition" Target="pivotCache/pivotCacheDefinition2.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Overdue Analysis</a:t>
            </a:r>
            <a:endParaRPr lang="en-US"/>
          </a:p>
        </c:rich>
      </c:tx>
      <c:layout>
        <c:manualLayout>
          <c:xMode val="edge"/>
          <c:yMode val="edge"/>
          <c:x val="2.7166589470433856E-2"/>
          <c:y val="3.92156862745098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137254901960784E-2"/>
          <c:y val="0.24241830065359476"/>
          <c:w val="0.90748340280994289"/>
          <c:h val="0.60648191034944166"/>
        </c:manualLayout>
      </c:layout>
      <c:barChart>
        <c:barDir val="col"/>
        <c:grouping val="clustered"/>
        <c:varyColors val="0"/>
        <c:ser>
          <c:idx val="0"/>
          <c:order val="0"/>
          <c:tx>
            <c:strRef>
              <c:f>'Pivot Table'!$K$3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Table'!$K$4:$K$16</c:f>
              <c:numCache>
                <c:formatCode>General</c:formatCode>
                <c:ptCount val="12"/>
                <c:pt idx="0">
                  <c:v>1500</c:v>
                </c:pt>
                <c:pt idx="1">
                  <c:v>2000</c:v>
                </c:pt>
                <c:pt idx="2">
                  <c:v>1800</c:v>
                </c:pt>
                <c:pt idx="3">
                  <c:v>4500</c:v>
                </c:pt>
                <c:pt idx="4">
                  <c:v>1200</c:v>
                </c:pt>
                <c:pt idx="5">
                  <c:v>3000</c:v>
                </c:pt>
                <c:pt idx="6">
                  <c:v>4000</c:v>
                </c:pt>
                <c:pt idx="7">
                  <c:v>1100</c:v>
                </c:pt>
                <c:pt idx="8">
                  <c:v>2000</c:v>
                </c:pt>
                <c:pt idx="9">
                  <c:v>1500</c:v>
                </c:pt>
                <c:pt idx="10">
                  <c:v>2900</c:v>
                </c:pt>
                <c:pt idx="11">
                  <c:v>1200</c:v>
                </c:pt>
              </c:numCache>
            </c:numRef>
          </c:val>
          <c:extLst>
            <c:ext xmlns:c16="http://schemas.microsoft.com/office/drawing/2014/chart" uri="{C3380CC4-5D6E-409C-BE32-E72D297353CC}">
              <c16:uniqueId val="{00000000-05EF-4AB1-9CEB-402AB06D0D1B}"/>
            </c:ext>
          </c:extLst>
        </c:ser>
        <c:dLbls>
          <c:dLblPos val="outEnd"/>
          <c:showLegendKey val="0"/>
          <c:showVal val="1"/>
          <c:showCatName val="0"/>
          <c:showSerName val="0"/>
          <c:showPercent val="0"/>
          <c:showBubbleSize val="0"/>
        </c:dLbls>
        <c:gapWidth val="219"/>
        <c:overlap val="-27"/>
        <c:axId val="869381416"/>
        <c:axId val="869380336"/>
      </c:barChart>
      <c:catAx>
        <c:axId val="869381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380336"/>
        <c:crosses val="autoZero"/>
        <c:auto val="1"/>
        <c:lblAlgn val="ctr"/>
        <c:lblOffset val="100"/>
        <c:noMultiLvlLbl val="0"/>
      </c:catAx>
      <c:valAx>
        <c:axId val="869380336"/>
        <c:scaling>
          <c:orientation val="minMax"/>
        </c:scaling>
        <c:delete val="1"/>
        <c:axPos val="l"/>
        <c:numFmt formatCode="General" sourceLinked="1"/>
        <c:majorTickMark val="out"/>
        <c:minorTickMark val="none"/>
        <c:tickLblPos val="nextTo"/>
        <c:crossAx val="869381416"/>
        <c:crosses val="autoZero"/>
        <c:crossBetween val="between"/>
      </c:valAx>
      <c:spPr>
        <a:noFill/>
        <a:ln>
          <a:noFill/>
        </a:ln>
        <a:effectLst/>
      </c:spPr>
    </c:plotArea>
    <c:legend>
      <c:legendPos val="r"/>
      <c:layout>
        <c:manualLayout>
          <c:xMode val="edge"/>
          <c:yMode val="edge"/>
          <c:x val="0.80944418712366839"/>
          <c:y val="4.6453605064072867E-2"/>
          <c:w val="0.13173228346456692"/>
          <c:h val="0.110294889609387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Target</a:t>
            </a:r>
            <a:r>
              <a:rPr lang="en-US" baseline="0"/>
              <a:t> Vs Actual Disbursement</a:t>
            </a:r>
            <a:endParaRPr lang="en-US"/>
          </a:p>
        </c:rich>
      </c:tx>
      <c:layout>
        <c:manualLayout>
          <c:xMode val="edge"/>
          <c:yMode val="edge"/>
          <c:x val="3.9710750441909047E-2"/>
          <c:y val="3.40136054421768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43242808934598"/>
          <c:y val="0.21026077097505669"/>
          <c:w val="0.7875127216240827"/>
          <c:h val="0.63813317978109874"/>
        </c:manualLayout>
      </c:layout>
      <c:barChart>
        <c:barDir val="col"/>
        <c:grouping val="clustered"/>
        <c:varyColors val="0"/>
        <c:ser>
          <c:idx val="0"/>
          <c:order val="0"/>
          <c:tx>
            <c:strRef>
              <c:f>'Pivot Table'!$C$4</c:f>
              <c:strCache>
                <c:ptCount val="1"/>
                <c:pt idx="0">
                  <c:v>Total_Target_Disb</c:v>
                </c:pt>
              </c:strCache>
            </c:strRef>
          </c:tx>
          <c:spPr>
            <a:solidFill>
              <a:schemeClr val="accent1"/>
            </a:solidFill>
            <a:ln>
              <a:noFill/>
            </a:ln>
            <a:effectLst/>
          </c:spPr>
          <c:invertIfNegative val="0"/>
          <c:cat>
            <c:strRef>
              <c:f>'Pivot Table'!$B$5:$B$17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Table'!$C$5:$C$17</c:f>
              <c:numCache>
                <c:formatCode>General</c:formatCode>
                <c:ptCount val="12"/>
                <c:pt idx="0">
                  <c:v>550000</c:v>
                </c:pt>
                <c:pt idx="1">
                  <c:v>600000</c:v>
                </c:pt>
                <c:pt idx="2">
                  <c:v>620000</c:v>
                </c:pt>
                <c:pt idx="3">
                  <c:v>500000</c:v>
                </c:pt>
                <c:pt idx="4">
                  <c:v>600000</c:v>
                </c:pt>
                <c:pt idx="5">
                  <c:v>650000</c:v>
                </c:pt>
                <c:pt idx="6">
                  <c:v>550000</c:v>
                </c:pt>
                <c:pt idx="7">
                  <c:v>700000</c:v>
                </c:pt>
                <c:pt idx="8">
                  <c:v>720000</c:v>
                </c:pt>
                <c:pt idx="9">
                  <c:v>750000</c:v>
                </c:pt>
                <c:pt idx="10">
                  <c:v>700000</c:v>
                </c:pt>
                <c:pt idx="11">
                  <c:v>800000</c:v>
                </c:pt>
              </c:numCache>
            </c:numRef>
          </c:val>
          <c:extLst>
            <c:ext xmlns:c16="http://schemas.microsoft.com/office/drawing/2014/chart" uri="{C3380CC4-5D6E-409C-BE32-E72D297353CC}">
              <c16:uniqueId val="{00000000-007A-4C72-82EB-FD6EA4710B5A}"/>
            </c:ext>
          </c:extLst>
        </c:ser>
        <c:ser>
          <c:idx val="1"/>
          <c:order val="1"/>
          <c:tx>
            <c:strRef>
              <c:f>'Pivot Table'!$D$4</c:f>
              <c:strCache>
                <c:ptCount val="1"/>
                <c:pt idx="0">
                  <c:v>Total_Actual_Disb</c:v>
                </c:pt>
              </c:strCache>
            </c:strRef>
          </c:tx>
          <c:spPr>
            <a:solidFill>
              <a:schemeClr val="accent2"/>
            </a:solidFill>
            <a:ln>
              <a:noFill/>
            </a:ln>
            <a:effectLst/>
          </c:spPr>
          <c:invertIfNegative val="0"/>
          <c:cat>
            <c:strRef>
              <c:f>'Pivot Table'!$B$5:$B$17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Table'!$D$5:$D$17</c:f>
              <c:numCache>
                <c:formatCode>General</c:formatCode>
                <c:ptCount val="12"/>
                <c:pt idx="0">
                  <c:v>500000</c:v>
                </c:pt>
                <c:pt idx="1">
                  <c:v>550000</c:v>
                </c:pt>
                <c:pt idx="2">
                  <c:v>600000</c:v>
                </c:pt>
                <c:pt idx="3">
                  <c:v>450000</c:v>
                </c:pt>
                <c:pt idx="4">
                  <c:v>580000</c:v>
                </c:pt>
                <c:pt idx="5">
                  <c:v>620000</c:v>
                </c:pt>
                <c:pt idx="6">
                  <c:v>500000</c:v>
                </c:pt>
                <c:pt idx="7">
                  <c:v>650000</c:v>
                </c:pt>
                <c:pt idx="8">
                  <c:v>700000</c:v>
                </c:pt>
                <c:pt idx="9">
                  <c:v>720000</c:v>
                </c:pt>
                <c:pt idx="10">
                  <c:v>680000</c:v>
                </c:pt>
                <c:pt idx="11">
                  <c:v>750000</c:v>
                </c:pt>
              </c:numCache>
            </c:numRef>
          </c:val>
          <c:extLst>
            <c:ext xmlns:c16="http://schemas.microsoft.com/office/drawing/2014/chart" uri="{C3380CC4-5D6E-409C-BE32-E72D297353CC}">
              <c16:uniqueId val="{00000001-007A-4C72-82EB-FD6EA4710B5A}"/>
            </c:ext>
          </c:extLst>
        </c:ser>
        <c:dLbls>
          <c:showLegendKey val="0"/>
          <c:showVal val="0"/>
          <c:showCatName val="0"/>
          <c:showSerName val="0"/>
          <c:showPercent val="0"/>
          <c:showBubbleSize val="0"/>
        </c:dLbls>
        <c:gapWidth val="219"/>
        <c:overlap val="-27"/>
        <c:axId val="484311632"/>
        <c:axId val="484312712"/>
      </c:barChart>
      <c:catAx>
        <c:axId val="48431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12712"/>
        <c:crosses val="autoZero"/>
        <c:auto val="1"/>
        <c:lblAlgn val="ctr"/>
        <c:lblOffset val="100"/>
        <c:noMultiLvlLbl val="0"/>
      </c:catAx>
      <c:valAx>
        <c:axId val="484312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11632"/>
        <c:crosses val="autoZero"/>
        <c:crossBetween val="between"/>
      </c:valAx>
      <c:spPr>
        <a:noFill/>
        <a:ln>
          <a:noFill/>
        </a:ln>
        <a:effectLst/>
      </c:spPr>
    </c:plotArea>
    <c:legend>
      <c:legendPos val="r"/>
      <c:layout>
        <c:manualLayout>
          <c:xMode val="edge"/>
          <c:yMode val="edge"/>
          <c:x val="0.62142134018961914"/>
          <c:y val="1.9103415644472994E-2"/>
          <c:w val="0.36157185708929246"/>
          <c:h val="0.191327869730569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Target Vs Actual Collection</a:t>
            </a:r>
          </a:p>
        </c:rich>
      </c:tx>
      <c:layout>
        <c:manualLayout>
          <c:xMode val="edge"/>
          <c:yMode val="edge"/>
          <c:x val="2.5845219654920197E-2"/>
          <c:y val="3.41530054644808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02026590938427"/>
          <c:y val="0.21112249544626593"/>
          <c:w val="0.68263413794587147"/>
          <c:h val="0.63665011904249669"/>
        </c:manualLayout>
      </c:layout>
      <c:barChart>
        <c:barDir val="col"/>
        <c:grouping val="clustered"/>
        <c:varyColors val="0"/>
        <c:ser>
          <c:idx val="1"/>
          <c:order val="1"/>
          <c:tx>
            <c:strRef>
              <c:f>'Pivot Table'!$H$3</c:f>
              <c:strCache>
                <c:ptCount val="1"/>
                <c:pt idx="0">
                  <c:v>Total_Actual_Coll</c:v>
                </c:pt>
              </c:strCache>
            </c:strRef>
          </c:tx>
          <c:spPr>
            <a:solidFill>
              <a:schemeClr val="accent2"/>
            </a:solidFill>
            <a:ln>
              <a:noFill/>
            </a:ln>
            <a:effectLst/>
          </c:spPr>
          <c:invertIfNegative val="0"/>
          <c:cat>
            <c:strRef>
              <c:f>'Pivot Table'!$F$4:$F$16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Table'!$H$4:$H$16</c:f>
              <c:numCache>
                <c:formatCode>General</c:formatCode>
                <c:ptCount val="12"/>
                <c:pt idx="0">
                  <c:v>118500</c:v>
                </c:pt>
                <c:pt idx="1">
                  <c:v>128000</c:v>
                </c:pt>
                <c:pt idx="2">
                  <c:v>143200</c:v>
                </c:pt>
                <c:pt idx="3">
                  <c:v>145500</c:v>
                </c:pt>
                <c:pt idx="4">
                  <c:v>153800</c:v>
                </c:pt>
                <c:pt idx="5">
                  <c:v>162000</c:v>
                </c:pt>
                <c:pt idx="6">
                  <c:v>166000</c:v>
                </c:pt>
                <c:pt idx="7">
                  <c:v>173900</c:v>
                </c:pt>
                <c:pt idx="8">
                  <c:v>183000</c:v>
                </c:pt>
                <c:pt idx="9">
                  <c:v>188500</c:v>
                </c:pt>
                <c:pt idx="10">
                  <c:v>192100</c:v>
                </c:pt>
                <c:pt idx="11">
                  <c:v>198800</c:v>
                </c:pt>
              </c:numCache>
            </c:numRef>
          </c:val>
          <c:extLst>
            <c:ext xmlns:c16="http://schemas.microsoft.com/office/drawing/2014/chart" uri="{C3380CC4-5D6E-409C-BE32-E72D297353CC}">
              <c16:uniqueId val="{00000000-6CF1-49D0-9956-24023C15BA08}"/>
            </c:ext>
          </c:extLst>
        </c:ser>
        <c:dLbls>
          <c:showLegendKey val="0"/>
          <c:showVal val="0"/>
          <c:showCatName val="0"/>
          <c:showSerName val="0"/>
          <c:showPercent val="0"/>
          <c:showBubbleSize val="0"/>
        </c:dLbls>
        <c:gapWidth val="219"/>
        <c:axId val="774988344"/>
        <c:axId val="774984024"/>
      </c:barChart>
      <c:lineChart>
        <c:grouping val="standard"/>
        <c:varyColors val="0"/>
        <c:ser>
          <c:idx val="0"/>
          <c:order val="0"/>
          <c:tx>
            <c:strRef>
              <c:f>'Pivot Table'!$G$3</c:f>
              <c:strCache>
                <c:ptCount val="1"/>
                <c:pt idx="0">
                  <c:v>Total_Target_Coll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Table'!$G$4:$G$16</c:f>
              <c:numCache>
                <c:formatCode>General</c:formatCode>
                <c:ptCount val="12"/>
                <c:pt idx="0">
                  <c:v>120000</c:v>
                </c:pt>
                <c:pt idx="1">
                  <c:v>130000</c:v>
                </c:pt>
                <c:pt idx="2">
                  <c:v>145000</c:v>
                </c:pt>
                <c:pt idx="3">
                  <c:v>150000</c:v>
                </c:pt>
                <c:pt idx="4">
                  <c:v>155000</c:v>
                </c:pt>
                <c:pt idx="5">
                  <c:v>165000</c:v>
                </c:pt>
                <c:pt idx="6">
                  <c:v>170000</c:v>
                </c:pt>
                <c:pt idx="7">
                  <c:v>175000</c:v>
                </c:pt>
                <c:pt idx="8">
                  <c:v>185000</c:v>
                </c:pt>
                <c:pt idx="9">
                  <c:v>190000</c:v>
                </c:pt>
                <c:pt idx="10">
                  <c:v>195000</c:v>
                </c:pt>
                <c:pt idx="11">
                  <c:v>200000</c:v>
                </c:pt>
              </c:numCache>
            </c:numRef>
          </c:val>
          <c:smooth val="0"/>
          <c:extLst>
            <c:ext xmlns:c16="http://schemas.microsoft.com/office/drawing/2014/chart" uri="{C3380CC4-5D6E-409C-BE32-E72D297353CC}">
              <c16:uniqueId val="{00000001-6CF1-49D0-9956-24023C15BA08}"/>
            </c:ext>
          </c:extLst>
        </c:ser>
        <c:dLbls>
          <c:showLegendKey val="0"/>
          <c:showVal val="0"/>
          <c:showCatName val="0"/>
          <c:showSerName val="0"/>
          <c:showPercent val="0"/>
          <c:showBubbleSize val="0"/>
        </c:dLbls>
        <c:marker val="1"/>
        <c:smooth val="0"/>
        <c:axId val="774988344"/>
        <c:axId val="774984024"/>
      </c:lineChart>
      <c:catAx>
        <c:axId val="774988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984024"/>
        <c:crosses val="autoZero"/>
        <c:auto val="1"/>
        <c:lblAlgn val="ctr"/>
        <c:lblOffset val="100"/>
        <c:noMultiLvlLbl val="0"/>
      </c:catAx>
      <c:valAx>
        <c:axId val="774984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988344"/>
        <c:crosses val="autoZero"/>
        <c:crossBetween val="between"/>
      </c:valAx>
      <c:spPr>
        <a:noFill/>
        <a:ln>
          <a:noFill/>
        </a:ln>
        <a:effectLst/>
      </c:spPr>
    </c:plotArea>
    <c:legend>
      <c:legendPos val="r"/>
      <c:layout>
        <c:manualLayout>
          <c:xMode val="edge"/>
          <c:yMode val="edge"/>
          <c:x val="0.56026096123230507"/>
          <c:y val="1.144036042625818E-2"/>
          <c:w val="0.42949313712835074"/>
          <c:h val="0.192112000344219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350520</xdr:colOff>
      <xdr:row>17</xdr:row>
      <xdr:rowOff>0</xdr:rowOff>
    </xdr:from>
    <xdr:to>
      <xdr:col>11</xdr:col>
      <xdr:colOff>541020</xdr:colOff>
      <xdr:row>27</xdr:row>
      <xdr:rowOff>114300</xdr:rowOff>
    </xdr:to>
    <xdr:graphicFrame macro="">
      <xdr:nvGraphicFramePr>
        <xdr:cNvPr id="4" name="Chart 3">
          <a:extLst>
            <a:ext uri="{FF2B5EF4-FFF2-40B4-BE49-F238E27FC236}">
              <a16:creationId xmlns:a16="http://schemas.microsoft.com/office/drawing/2014/main" id="{590903C7-796A-43F4-BA2D-1FBD65E6A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533400</xdr:colOff>
      <xdr:row>4</xdr:row>
      <xdr:rowOff>30480</xdr:rowOff>
    </xdr:from>
    <xdr:to>
      <xdr:col>15</xdr:col>
      <xdr:colOff>533400</xdr:colOff>
      <xdr:row>18</xdr:row>
      <xdr:rowOff>51435</xdr:rowOff>
    </xdr:to>
    <mc:AlternateContent xmlns:mc="http://schemas.openxmlformats.org/markup-compatibility/2006" xmlns:a14="http://schemas.microsoft.com/office/drawing/2010/main">
      <mc:Choice Requires="a14">
        <xdr:graphicFrame macro="">
          <xdr:nvGraphicFramePr>
            <xdr:cNvPr id="8" name="Month (Month)">
              <a:extLst>
                <a:ext uri="{FF2B5EF4-FFF2-40B4-BE49-F238E27FC236}">
                  <a16:creationId xmlns:a16="http://schemas.microsoft.com/office/drawing/2014/main" id="{3E496723-200C-C5DD-27B2-911376826D5C}"/>
                </a:ext>
              </a:extLst>
            </xdr:cNvPr>
            <xdr:cNvGraphicFramePr/>
          </xdr:nvGraphicFramePr>
          <xdr:xfrm>
            <a:off x="0" y="0"/>
            <a:ext cx="0" cy="0"/>
          </xdr:xfrm>
          <a:graphic>
            <a:graphicData uri="http://schemas.microsoft.com/office/drawing/2010/slicer">
              <sle:slicer xmlns:sle="http://schemas.microsoft.com/office/drawing/2010/slicer" name="Month (Month)"/>
            </a:graphicData>
          </a:graphic>
        </xdr:graphicFrame>
      </mc:Choice>
      <mc:Fallback xmlns="">
        <xdr:sp macro="" textlink="">
          <xdr:nvSpPr>
            <xdr:cNvPr id="0" name=""/>
            <xdr:cNvSpPr>
              <a:spLocks noTextEdit="1"/>
            </xdr:cNvSpPr>
          </xdr:nvSpPr>
          <xdr:spPr>
            <a:xfrm>
              <a:off x="7848600" y="7620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4</xdr:row>
      <xdr:rowOff>15240</xdr:rowOff>
    </xdr:from>
    <xdr:to>
      <xdr:col>6</xdr:col>
      <xdr:colOff>152400</xdr:colOff>
      <xdr:row>16</xdr:row>
      <xdr:rowOff>99060</xdr:rowOff>
    </xdr:to>
    <xdr:graphicFrame macro="">
      <xdr:nvGraphicFramePr>
        <xdr:cNvPr id="5" name="Chart 4">
          <a:extLst>
            <a:ext uri="{FF2B5EF4-FFF2-40B4-BE49-F238E27FC236}">
              <a16:creationId xmlns:a16="http://schemas.microsoft.com/office/drawing/2014/main" id="{8797B4FA-B82C-4F17-9B7E-50D02B2CF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259080</xdr:colOff>
      <xdr:row>4</xdr:row>
      <xdr:rowOff>38100</xdr:rowOff>
    </xdr:from>
    <xdr:to>
      <xdr:col>12</xdr:col>
      <xdr:colOff>320040</xdr:colOff>
      <xdr:row>16</xdr:row>
      <xdr:rowOff>74676</xdr:rowOff>
    </xdr:to>
    <xdr:graphicFrame macro="">
      <xdr:nvGraphicFramePr>
        <xdr:cNvPr id="6" name="Chart 5">
          <a:extLst>
            <a:ext uri="{FF2B5EF4-FFF2-40B4-BE49-F238E27FC236}">
              <a16:creationId xmlns:a16="http://schemas.microsoft.com/office/drawing/2014/main" id="{96980C77-721D-48FC-BB22-0F2A3E0BA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weta Khanam" refreshedDate="46195.546292476851" createdVersion="8" refreshedVersion="8" minRefreshableVersion="3" recordCount="0" supportSubquery="1" supportAdvancedDrill="1" xr:uid="{D3339D3C-F74A-4631-AAFA-CE4FF50BB7DB}">
  <cacheSource type="external" connectionId="1"/>
  <cacheFields count="3">
    <cacheField name="[Data_Table].[Month (Month)].[Month (Month)]" caption="Month (Month)" numFmtId="0" hierarchy="7" level="1">
      <sharedItems count="12">
        <s v="Jan"/>
        <s v="Feb"/>
        <s v="Mar"/>
        <s v="Apr"/>
        <s v="May"/>
        <s v="Jun"/>
        <s v="Jul"/>
        <s v="Aug"/>
        <s v="Sep"/>
        <s v="Oct"/>
        <s v="Nov"/>
        <s v="Dec"/>
      </sharedItems>
    </cacheField>
    <cacheField name="[Measures].[Total_Target_Coll]" caption="Total_Target_Coll" numFmtId="0" hierarchy="12" level="32767"/>
    <cacheField name="[Measures].[Total_Actual_Coll]" caption="Total_Actual_Coll" numFmtId="0" hierarchy="13" level="32767"/>
  </cacheFields>
  <cacheHierarchies count="19">
    <cacheHierarchy uniqueName="[Data_Table].[Month]" caption="Month" attribute="1" time="1" defaultMemberUniqueName="[Data_Table].[Month].[All]" allUniqueName="[Data_Table].[Month].[All]" dimensionUniqueName="[Data_Table]" displayFolder="" count="2" memberValueDatatype="7" unbalanced="0"/>
    <cacheHierarchy uniqueName="[Data_Table].[Active Borrowers]" caption="Active Borrowers" attribute="1" defaultMemberUniqueName="[Data_Table].[Active Borrowers].[All]" allUniqueName="[Data_Table].[Active Borrowers].[All]" dimensionUniqueName="[Data_Table]" displayFolder="" count="2" memberValueDatatype="20" unbalanced="0"/>
    <cacheHierarchy uniqueName="[Data_Table].[Target Disbursment]" caption="Target Disbursment" attribute="1" defaultMemberUniqueName="[Data_Table].[Target Disbursment].[All]" allUniqueName="[Data_Table].[Target Disbursment].[All]" dimensionUniqueName="[Data_Table]" displayFolder="" count="2" memberValueDatatype="20" unbalanced="0"/>
    <cacheHierarchy uniqueName="[Data_Table].[Actual Disbursment]" caption="Actual Disbursment" attribute="1" defaultMemberUniqueName="[Data_Table].[Actual Disbursment].[All]" allUniqueName="[Data_Table].[Actual Disbursment].[All]" dimensionUniqueName="[Data_Table]" displayFolder="" count="2" memberValueDatatype="20" unbalanced="0"/>
    <cacheHierarchy uniqueName="[Data_Table].[Target Collection]" caption="Target Collection" attribute="1" defaultMemberUniqueName="[Data_Table].[Target Collection].[All]" allUniqueName="[Data_Table].[Target Collection].[All]" dimensionUniqueName="[Data_Table]" displayFolder="" count="2" memberValueDatatype="20" unbalanced="0"/>
    <cacheHierarchy uniqueName="[Data_Table].[Actual Collection]" caption="Actual Collection" attribute="1" defaultMemberUniqueName="[Data_Table].[Actual Collection].[All]" allUniqueName="[Data_Table].[Actual Collection].[All]" dimensionUniqueName="[Data_Table]" displayFolder="" count="2" memberValueDatatype="20" unbalanced="0"/>
    <cacheHierarchy uniqueName="[Data_Table].[Overdue Amount]" caption="Overdue Amount" attribute="1" defaultMemberUniqueName="[Data_Table].[Overdue Amount].[All]" allUniqueName="[Data_Table].[Overdue Amount].[All]" dimensionUniqueName="[Data_Table]" displayFolder="" count="2" memberValueDatatype="20" unbalanced="0"/>
    <cacheHierarchy uniqueName="[Data_Table].[Month (Month)]" caption="Month (Month)" attribute="1" defaultMemberUniqueName="[Data_Table].[Month (Month)].[All]" allUniqueName="[Data_Table].[Month (Month)].[All]" dimensionUniqueName="[Data_Table]" displayFolder="" count="2" memberValueDatatype="130" unbalanced="0">
      <fieldsUsage count="2">
        <fieldUsage x="-1"/>
        <fieldUsage x="0"/>
      </fieldsUsage>
    </cacheHierarchy>
    <cacheHierarchy uniqueName="[Data_Table].[Month (Month Index)]" caption="Month (Month Index)" attribute="1" defaultMemberUniqueName="[Data_Table].[Month (Month Index)].[All]" allUniqueName="[Data_Table].[Month (Month Index)].[All]" dimensionUniqueName="[Data_Table]" displayFolder="" count="2" memberValueDatatype="20" unbalanced="0" hidden="1"/>
    <cacheHierarchy uniqueName="[Measures].[Total_Target_Disb]" caption="Total_Target_Disb" measure="1" displayFolder="" measureGroup="Data_Table" count="0"/>
    <cacheHierarchy uniqueName="[Measures].[Total_Actual_Disb]" caption="Total_Actual_Disb" measure="1" displayFolder="" measureGroup="Data_Table" count="0"/>
    <cacheHierarchy uniqueName="[Measures].[Disb_Variance]" caption="Disb_Variance" measure="1" displayFolder="" measureGroup="Data_Table" count="0"/>
    <cacheHierarchy uniqueName="[Measures].[Total_Target_Coll]" caption="Total_Target_Coll" measure="1" displayFolder="" measureGroup="Data_Table" count="0" oneField="1">
      <fieldsUsage count="1">
        <fieldUsage x="1"/>
      </fieldsUsage>
    </cacheHierarchy>
    <cacheHierarchy uniqueName="[Measures].[Total_Actual_Coll]" caption="Total_Actual_Coll" measure="1" displayFolder="" measureGroup="Data_Table" count="0" oneField="1">
      <fieldsUsage count="1">
        <fieldUsage x="2"/>
      </fieldsUsage>
    </cacheHierarchy>
    <cacheHierarchy uniqueName="[Measures].[Recovery_Rate]" caption="Recovery_Rate" measure="1" displayFolder="" measureGroup="Data_Table" count="0"/>
    <cacheHierarchy uniqueName="[Measures].[Total_Overdue]" caption="Total_Overdue" measure="1" displayFolder="" measureGroup="Data_Table" count="0"/>
    <cacheHierarchy uniqueName="[Measures].[PAR_Rate]" caption="PAR_Rate" measure="1" displayFolder="" measureGroup="Data_Table" count="0"/>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2">
    <dimension name="Data_Table" uniqueName="[Data_Table]" caption="Data_Table"/>
    <dimension measure="1" name="Measures" uniqueName="[Measures]" caption="Measures"/>
  </dimensions>
  <measureGroups count="1">
    <measureGroup name="Data_Table" caption="Data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weta Khanam" refreshedDate="46195.546293055559" createdVersion="8" refreshedVersion="8" minRefreshableVersion="3" recordCount="0" supportSubquery="1" supportAdvancedDrill="1" xr:uid="{7AACDAC0-4789-40FE-9558-D6D9F63119E2}">
  <cacheSource type="external" connectionId="1"/>
  <cacheFields count="2">
    <cacheField name="[Data_Table].[Month (Month)].[Month (Month)]" caption="Month (Month)" numFmtId="0" hierarchy="7" level="1">
      <sharedItems count="12">
        <s v="Jan"/>
        <s v="Feb"/>
        <s v="Mar"/>
        <s v="Apr"/>
        <s v="May"/>
        <s v="Jun"/>
        <s v="Jul"/>
        <s v="Aug"/>
        <s v="Sep"/>
        <s v="Oct"/>
        <s v="Nov"/>
        <s v="Dec"/>
      </sharedItems>
    </cacheField>
    <cacheField name="[Measures].[Total_Overdue]" caption="Total_Overdue" numFmtId="0" hierarchy="15" level="32767"/>
  </cacheFields>
  <cacheHierarchies count="19">
    <cacheHierarchy uniqueName="[Data_Table].[Month]" caption="Month" attribute="1" time="1" defaultMemberUniqueName="[Data_Table].[Month].[All]" allUniqueName="[Data_Table].[Month].[All]" dimensionUniqueName="[Data_Table]" displayFolder="" count="2" memberValueDatatype="7" unbalanced="0"/>
    <cacheHierarchy uniqueName="[Data_Table].[Active Borrowers]" caption="Active Borrowers" attribute="1" defaultMemberUniqueName="[Data_Table].[Active Borrowers].[All]" allUniqueName="[Data_Table].[Active Borrowers].[All]" dimensionUniqueName="[Data_Table]" displayFolder="" count="0" memberValueDatatype="20" unbalanced="0"/>
    <cacheHierarchy uniqueName="[Data_Table].[Target Disbursment]" caption="Target Disbursment" attribute="1" defaultMemberUniqueName="[Data_Table].[Target Disbursment].[All]" allUniqueName="[Data_Table].[Target Disbursment].[All]" dimensionUniqueName="[Data_Table]" displayFolder="" count="0" memberValueDatatype="20" unbalanced="0"/>
    <cacheHierarchy uniqueName="[Data_Table].[Actual Disbursment]" caption="Actual Disbursment" attribute="1" defaultMemberUniqueName="[Data_Table].[Actual Disbursment].[All]" allUniqueName="[Data_Table].[Actual Disbursment].[All]" dimensionUniqueName="[Data_Table]" displayFolder="" count="0" memberValueDatatype="20" unbalanced="0"/>
    <cacheHierarchy uniqueName="[Data_Table].[Target Collection]" caption="Target Collection" attribute="1" defaultMemberUniqueName="[Data_Table].[Target Collection].[All]" allUniqueName="[Data_Table].[Target Collection].[All]" dimensionUniqueName="[Data_Table]" displayFolder="" count="0" memberValueDatatype="20" unbalanced="0"/>
    <cacheHierarchy uniqueName="[Data_Table].[Actual Collection]" caption="Actual Collection" attribute="1" defaultMemberUniqueName="[Data_Table].[Actual Collection].[All]" allUniqueName="[Data_Table].[Actual Collection].[All]" dimensionUniqueName="[Data_Table]" displayFolder="" count="0" memberValueDatatype="20" unbalanced="0"/>
    <cacheHierarchy uniqueName="[Data_Table].[Overdue Amount]" caption="Overdue Amount" attribute="1" defaultMemberUniqueName="[Data_Table].[Overdue Amount].[All]" allUniqueName="[Data_Table].[Overdue Amount].[All]" dimensionUniqueName="[Data_Table]" displayFolder="" count="0" memberValueDatatype="20" unbalanced="0"/>
    <cacheHierarchy uniqueName="[Data_Table].[Month (Month)]" caption="Month (Month)" attribute="1" defaultMemberUniqueName="[Data_Table].[Month (Month)].[All]" allUniqueName="[Data_Table].[Month (Month)].[All]" dimensionUniqueName="[Data_Table]" displayFolder="" count="2" memberValueDatatype="130" unbalanced="0">
      <fieldsUsage count="2">
        <fieldUsage x="-1"/>
        <fieldUsage x="0"/>
      </fieldsUsage>
    </cacheHierarchy>
    <cacheHierarchy uniqueName="[Data_Table].[Month (Month Index)]" caption="Month (Month Index)" attribute="1" defaultMemberUniqueName="[Data_Table].[Month (Month Index)].[All]" allUniqueName="[Data_Table].[Month (Month Index)].[All]" dimensionUniqueName="[Data_Table]" displayFolder="" count="0" memberValueDatatype="20" unbalanced="0" hidden="1"/>
    <cacheHierarchy uniqueName="[Measures].[Total_Target_Disb]" caption="Total_Target_Disb" measure="1" displayFolder="" measureGroup="Data_Table" count="0"/>
    <cacheHierarchy uniqueName="[Measures].[Total_Actual_Disb]" caption="Total_Actual_Disb" measure="1" displayFolder="" measureGroup="Data_Table" count="0"/>
    <cacheHierarchy uniqueName="[Measures].[Disb_Variance]" caption="Disb_Variance" measure="1" displayFolder="" measureGroup="Data_Table" count="0"/>
    <cacheHierarchy uniqueName="[Measures].[Total_Target_Coll]" caption="Total_Target_Coll" measure="1" displayFolder="" measureGroup="Data_Table" count="0"/>
    <cacheHierarchy uniqueName="[Measures].[Total_Actual_Coll]" caption="Total_Actual_Coll" measure="1" displayFolder="" measureGroup="Data_Table" count="0"/>
    <cacheHierarchy uniqueName="[Measures].[Recovery_Rate]" caption="Recovery_Rate" measure="1" displayFolder="" measureGroup="Data_Table" count="0"/>
    <cacheHierarchy uniqueName="[Measures].[Total_Overdue]" caption="Total_Overdue" measure="1" displayFolder="" measureGroup="Data_Table" count="0" oneField="1">
      <fieldsUsage count="1">
        <fieldUsage x="1"/>
      </fieldsUsage>
    </cacheHierarchy>
    <cacheHierarchy uniqueName="[Measures].[PAR_Rate]" caption="PAR_Rate" measure="1" displayFolder="" measureGroup="Data_Table" count="0"/>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2">
    <dimension name="Data_Table" uniqueName="[Data_Table]" caption="Data_Table"/>
    <dimension measure="1" name="Measures" uniqueName="[Measures]" caption="Measures"/>
  </dimensions>
  <measureGroups count="1">
    <measureGroup name="Data_Table" caption="Data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weta Khanam" refreshedDate="46195.546293402775" createdVersion="8" refreshedVersion="8" minRefreshableVersion="3" recordCount="0" supportSubquery="1" supportAdvancedDrill="1" xr:uid="{6AF03231-5981-4366-913C-B3D0011FCC40}">
  <cacheSource type="external" connectionId="1"/>
  <cacheFields count="3">
    <cacheField name="[Data_Table].[Month (Month)].[Month (Month)]" caption="Month (Month)" numFmtId="0" hierarchy="7" level="1">
      <sharedItems count="12">
        <s v="Jan"/>
        <s v="Feb"/>
        <s v="Mar"/>
        <s v="Apr"/>
        <s v="May"/>
        <s v="Jun"/>
        <s v="Jul"/>
        <s v="Aug"/>
        <s v="Sep"/>
        <s v="Oct"/>
        <s v="Nov"/>
        <s v="Dec"/>
      </sharedItems>
    </cacheField>
    <cacheField name="[Measures].[Total_Target_Disb]" caption="Total_Target_Disb" numFmtId="0" hierarchy="9" level="32767"/>
    <cacheField name="[Measures].[Total_Actual_Disb]" caption="Total_Actual_Disb" numFmtId="0" hierarchy="10" level="32767"/>
  </cacheFields>
  <cacheHierarchies count="19">
    <cacheHierarchy uniqueName="[Data_Table].[Month]" caption="Month" attribute="1" time="1" defaultMemberUniqueName="[Data_Table].[Month].[All]" allUniqueName="[Data_Table].[Month].[All]" dimensionUniqueName="[Data_Table]" displayFolder="" count="2" memberValueDatatype="7" unbalanced="0"/>
    <cacheHierarchy uniqueName="[Data_Table].[Active Borrowers]" caption="Active Borrowers" attribute="1" defaultMemberUniqueName="[Data_Table].[Active Borrowers].[All]" allUniqueName="[Data_Table].[Active Borrowers].[All]" dimensionUniqueName="[Data_Table]" displayFolder="" count="0" memberValueDatatype="20" unbalanced="0"/>
    <cacheHierarchy uniqueName="[Data_Table].[Target Disbursment]" caption="Target Disbursment" attribute="1" defaultMemberUniqueName="[Data_Table].[Target Disbursment].[All]" allUniqueName="[Data_Table].[Target Disbursment].[All]" dimensionUniqueName="[Data_Table]" displayFolder="" count="0" memberValueDatatype="20" unbalanced="0"/>
    <cacheHierarchy uniqueName="[Data_Table].[Actual Disbursment]" caption="Actual Disbursment" attribute="1" defaultMemberUniqueName="[Data_Table].[Actual Disbursment].[All]" allUniqueName="[Data_Table].[Actual Disbursment].[All]" dimensionUniqueName="[Data_Table]" displayFolder="" count="0" memberValueDatatype="20" unbalanced="0"/>
    <cacheHierarchy uniqueName="[Data_Table].[Target Collection]" caption="Target Collection" attribute="1" defaultMemberUniqueName="[Data_Table].[Target Collection].[All]" allUniqueName="[Data_Table].[Target Collection].[All]" dimensionUniqueName="[Data_Table]" displayFolder="" count="0" memberValueDatatype="20" unbalanced="0"/>
    <cacheHierarchy uniqueName="[Data_Table].[Actual Collection]" caption="Actual Collection" attribute="1" defaultMemberUniqueName="[Data_Table].[Actual Collection].[All]" allUniqueName="[Data_Table].[Actual Collection].[All]" dimensionUniqueName="[Data_Table]" displayFolder="" count="0" memberValueDatatype="20" unbalanced="0"/>
    <cacheHierarchy uniqueName="[Data_Table].[Overdue Amount]" caption="Overdue Amount" attribute="1" defaultMemberUniqueName="[Data_Table].[Overdue Amount].[All]" allUniqueName="[Data_Table].[Overdue Amount].[All]" dimensionUniqueName="[Data_Table]" displayFolder="" count="0" memberValueDatatype="20" unbalanced="0"/>
    <cacheHierarchy uniqueName="[Data_Table].[Month (Month)]" caption="Month (Month)" attribute="1" defaultMemberUniqueName="[Data_Table].[Month (Month)].[All]" allUniqueName="[Data_Table].[Month (Month)].[All]" dimensionUniqueName="[Data_Table]" displayFolder="" count="2" memberValueDatatype="130" unbalanced="0">
      <fieldsUsage count="2">
        <fieldUsage x="-1"/>
        <fieldUsage x="0"/>
      </fieldsUsage>
    </cacheHierarchy>
    <cacheHierarchy uniqueName="[Data_Table].[Month (Month Index)]" caption="Month (Month Index)" attribute="1" defaultMemberUniqueName="[Data_Table].[Month (Month Index)].[All]" allUniqueName="[Data_Table].[Month (Month Index)].[All]" dimensionUniqueName="[Data_Table]" displayFolder="" count="0" memberValueDatatype="20" unbalanced="0" hidden="1"/>
    <cacheHierarchy uniqueName="[Measures].[Total_Target_Disb]" caption="Total_Target_Disb" measure="1" displayFolder="" measureGroup="Data_Table" count="0" oneField="1">
      <fieldsUsage count="1">
        <fieldUsage x="1"/>
      </fieldsUsage>
    </cacheHierarchy>
    <cacheHierarchy uniqueName="[Measures].[Total_Actual_Disb]" caption="Total_Actual_Disb" measure="1" displayFolder="" measureGroup="Data_Table" count="0" oneField="1">
      <fieldsUsage count="1">
        <fieldUsage x="2"/>
      </fieldsUsage>
    </cacheHierarchy>
    <cacheHierarchy uniqueName="[Measures].[Disb_Variance]" caption="Disb_Variance" measure="1" displayFolder="" measureGroup="Data_Table" count="0"/>
    <cacheHierarchy uniqueName="[Measures].[Total_Target_Coll]" caption="Total_Target_Coll" measure="1" displayFolder="" measureGroup="Data_Table" count="0"/>
    <cacheHierarchy uniqueName="[Measures].[Total_Actual_Coll]" caption="Total_Actual_Coll" measure="1" displayFolder="" measureGroup="Data_Table" count="0"/>
    <cacheHierarchy uniqueName="[Measures].[Recovery_Rate]" caption="Recovery_Rate" measure="1" displayFolder="" measureGroup="Data_Table" count="0"/>
    <cacheHierarchy uniqueName="[Measures].[Total_Overdue]" caption="Total_Overdue" measure="1" displayFolder="" measureGroup="Data_Table" count="0"/>
    <cacheHierarchy uniqueName="[Measures].[PAR_Rate]" caption="PAR_Rate" measure="1" displayFolder="" measureGroup="Data_Table" count="0"/>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2">
    <dimension name="Data_Table" uniqueName="[Data_Table]" caption="Data_Table"/>
    <dimension measure="1" name="Measures" uniqueName="[Measures]" caption="Measures"/>
  </dimensions>
  <measureGroups count="1">
    <measureGroup name="Data_Table" caption="Data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weta Khanam" refreshedDate="46194.943082638893" createdVersion="3" refreshedVersion="8" minRefreshableVersion="3" recordCount="0" supportSubquery="1" supportAdvancedDrill="1" xr:uid="{91BC09CF-0267-4ABF-9F4D-286ED1679F3A}">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Data_Table].[Month]" caption="Month" attribute="1" time="1" defaultMemberUniqueName="[Data_Table].[Month].[All]" allUniqueName="[Data_Table].[Month].[All]" dimensionUniqueName="[Data_Table]" displayFolder="" count="0" memberValueDatatype="7" unbalanced="0"/>
    <cacheHierarchy uniqueName="[Data_Table].[Active Borrowers]" caption="Active Borrowers" attribute="1" defaultMemberUniqueName="[Data_Table].[Active Borrowers].[All]" allUniqueName="[Data_Table].[Active Borrowers].[All]" dimensionUniqueName="[Data_Table]" displayFolder="" count="0" memberValueDatatype="20" unbalanced="0"/>
    <cacheHierarchy uniqueName="[Data_Table].[Target Disbursment]" caption="Target Disbursment" attribute="1" defaultMemberUniqueName="[Data_Table].[Target Disbursment].[All]" allUniqueName="[Data_Table].[Target Disbursment].[All]" dimensionUniqueName="[Data_Table]" displayFolder="" count="0" memberValueDatatype="20" unbalanced="0"/>
    <cacheHierarchy uniqueName="[Data_Table].[Actual Disbursment]" caption="Actual Disbursment" attribute="1" defaultMemberUniqueName="[Data_Table].[Actual Disbursment].[All]" allUniqueName="[Data_Table].[Actual Disbursment].[All]" dimensionUniqueName="[Data_Table]" displayFolder="" count="0" memberValueDatatype="20" unbalanced="0"/>
    <cacheHierarchy uniqueName="[Data_Table].[Target Collection]" caption="Target Collection" attribute="1" defaultMemberUniqueName="[Data_Table].[Target Collection].[All]" allUniqueName="[Data_Table].[Target Collection].[All]" dimensionUniqueName="[Data_Table]" displayFolder="" count="0" memberValueDatatype="20" unbalanced="0"/>
    <cacheHierarchy uniqueName="[Data_Table].[Actual Collection]" caption="Actual Collection" attribute="1" defaultMemberUniqueName="[Data_Table].[Actual Collection].[All]" allUniqueName="[Data_Table].[Actual Collection].[All]" dimensionUniqueName="[Data_Table]" displayFolder="" count="0" memberValueDatatype="20" unbalanced="0"/>
    <cacheHierarchy uniqueName="[Data_Table].[Overdue Amount]" caption="Overdue Amount" attribute="1" defaultMemberUniqueName="[Data_Table].[Overdue Amount].[All]" allUniqueName="[Data_Table].[Overdue Amount].[All]" dimensionUniqueName="[Data_Table]" displayFolder="" count="0" memberValueDatatype="20" unbalanced="0"/>
    <cacheHierarchy uniqueName="[Data_Table].[Month (Month)]" caption="Month (Month)" attribute="1" defaultMemberUniqueName="[Data_Table].[Month (Month)].[All]" allUniqueName="[Data_Table].[Month (Month)].[All]" dimensionUniqueName="[Data_Table]" displayFolder="" count="2" memberValueDatatype="130" unbalanced="0"/>
    <cacheHierarchy uniqueName="[Data_Table].[Month (Month Index)]" caption="Month (Month Index)" attribute="1" defaultMemberUniqueName="[Data_Table].[Month (Month Index)].[All]" allUniqueName="[Data_Table].[Month (Month Index)].[All]" dimensionUniqueName="[Data_Table]" displayFolder="" count="0" memberValueDatatype="20" unbalanced="0" hidden="1"/>
    <cacheHierarchy uniqueName="[Measures].[Total_Target_Disb]" caption="Total_Target_Disb" measure="1" displayFolder="" measureGroup="Data_Table" count="0"/>
    <cacheHierarchy uniqueName="[Measures].[Total_Actual_Disb]" caption="Total_Actual_Disb" measure="1" displayFolder="" measureGroup="Data_Table" count="0"/>
    <cacheHierarchy uniqueName="[Measures].[Disb_Variance]" caption="Disb_Variance" measure="1" displayFolder="" measureGroup="Data_Table" count="0"/>
    <cacheHierarchy uniqueName="[Measures].[Total_Target_Coll]" caption="Total_Target_Coll" measure="1" displayFolder="" measureGroup="Data_Table" count="0"/>
    <cacheHierarchy uniqueName="[Measures].[Total_Actual_Coll]" caption="Total_Actual_Coll" measure="1" displayFolder="" measureGroup="Data_Table" count="0"/>
    <cacheHierarchy uniqueName="[Measures].[Recovery_Rate]" caption="Recovery_Rate" measure="1" displayFolder="" measureGroup="Data_Table" count="0"/>
    <cacheHierarchy uniqueName="[Measures].[Total_Overdue]" caption="Total_Overdue" measure="1" displayFolder="" measureGroup="Data_Table" count="0"/>
    <cacheHierarchy uniqueName="[Measures].[PAR_Rate]" caption="PAR_Rate" measure="1" displayFolder="" measureGroup="Data_Table" count="0"/>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449963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FE88B0-D837-4F16-B1F1-B2F78EA59743}" name="PivotTable2" cacheId="0" applyNumberFormats="0" applyBorderFormats="0" applyFontFormats="0" applyPatternFormats="0" applyAlignmentFormats="0" applyWidthHeightFormats="1" dataCaption="Values" tag="df250f3d-1aea-4243-8b9b-01bafe5c777b" updatedVersion="8" minRefreshableVersion="3" useAutoFormatting="1" itemPrintTitles="1" createdVersion="8" indent="0" outline="1" outlineData="1" multipleFieldFilters="0" chartFormat="16">
  <location ref="F3:H16" firstHeaderRow="0" firstDataRow="1" firstDataCol="1"/>
  <pivotFields count="3">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F78C13-72A3-4E3E-9DF2-BE4C2B29A68C}" name="PivotTable4" cacheId="2" applyNumberFormats="0" applyBorderFormats="0" applyFontFormats="0" applyPatternFormats="0" applyAlignmentFormats="0" applyWidthHeightFormats="1" dataCaption="Values" tag="f323ff8f-859f-44da-a4f5-50e359e2ac91" updatedVersion="8" minRefreshableVersion="3" useAutoFormatting="1" itemPrintTitles="1" createdVersion="8" indent="0" outline="1" outlineData="1" multipleFieldFilters="0" chartFormat="10">
  <location ref="B4:D17" firstHeaderRow="0" firstDataRow="1" firstDataCol="1"/>
  <pivotFields count="3">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1014A4-162F-49C1-A3C3-4DFDF9973275}" name="PivotTable3" cacheId="1" applyNumberFormats="0" applyBorderFormats="0" applyFontFormats="0" applyPatternFormats="0" applyAlignmentFormats="0" applyWidthHeightFormats="1" dataCaption="Values" tag="f05eb686-8880-4c0a-9236-f2967969da98" updatedVersion="8" minRefreshableVersion="3" useAutoFormatting="1" itemPrintTitles="1" createdVersion="8" indent="0" outline="1" outlineData="1" multipleFieldFilters="0" chartFormat="6">
  <location ref="J3:K16" firstHeaderRow="1" firstDataRow="1" firstDataCol="1"/>
  <pivotFields count="2">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_Month" xr10:uid="{88087365-84B8-42F0-B20F-12939CB58C32}" sourceName="[Data_Table].[Month (Month)]">
  <pivotTables>
    <pivotTable tabId="2" name="PivotTable2"/>
    <pivotTable tabId="2" name="PivotTable3"/>
    <pivotTable tabId="2" name="PivotTable4"/>
  </pivotTables>
  <data>
    <olap pivotCacheId="544996313">
      <levels count="2">
        <level uniqueName="[Data_Table].[Month (Month)].[(All)]" sourceCaption="(All)" count="0"/>
        <level uniqueName="[Data_Table].[Month (Month)].[Month (Month)]" sourceCaption="Month (Month)" count="12">
          <ranges>
            <range startItem="0">
              <i n="[Data_Table].[Month (Month)].&amp;[Jan]" c="Jan"/>
              <i n="[Data_Table].[Month (Month)].&amp;[Feb]" c="Feb"/>
              <i n="[Data_Table].[Month (Month)].&amp;[Mar]" c="Mar"/>
              <i n="[Data_Table].[Month (Month)].&amp;[Apr]" c="Apr"/>
              <i n="[Data_Table].[Month (Month)].&amp;[May]" c="May"/>
              <i n="[Data_Table].[Month (Month)].&amp;[Jun]" c="Jun"/>
              <i n="[Data_Table].[Month (Month)].&amp;[Jul]" c="Jul"/>
              <i n="[Data_Table].[Month (Month)].&amp;[Aug]" c="Aug"/>
              <i n="[Data_Table].[Month (Month)].&amp;[Sep]" c="Sep"/>
              <i n="[Data_Table].[Month (Month)].&amp;[Oct]" c="Oct"/>
              <i n="[Data_Table].[Month (Month)].&amp;[Nov]" c="Nov"/>
              <i n="[Data_Table].[Month (Month)].&amp;[Dec]" c="Dec"/>
            </range>
          </ranges>
        </level>
      </levels>
      <selections count="1">
        <selection n="[Data_Table].[Month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Month)" xr10:uid="{2875237A-BEDE-4CB6-AA48-F9CF31EAD758}" cache="Slicer_Month__Month" caption="Month (Month)" startItem="5"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1BF46D-D92C-4604-B6B6-2C00DCEB81B9}" name="Data_Table" displayName="Data_Table" ref="A1:G13" totalsRowShown="0" headerRowDxfId="1">
  <autoFilter ref="A1:G13" xr:uid="{E51BF46D-D92C-4604-B6B6-2C00DCEB81B9}"/>
  <tableColumns count="7">
    <tableColumn id="1" xr3:uid="{E4F9BDBA-37AB-46D7-ABF6-362FDD3ACFAE}" name="Month" dataDxfId="0"/>
    <tableColumn id="2" xr3:uid="{10650A52-7C6B-4F09-B30E-93735FCE56CC}" name="Active Borrowers"/>
    <tableColumn id="3" xr3:uid="{1FEB498B-D2B1-4723-8201-E323CFF821B1}" name="Target Disbursment"/>
    <tableColumn id="4" xr3:uid="{A469563A-3B6D-4BCF-956C-AF2B379D918D}" name="Actual Disbursment"/>
    <tableColumn id="5" xr3:uid="{C5102F16-4098-4775-ADF6-D75F04DEBCEA}" name="Target Collection"/>
    <tableColumn id="6" xr3:uid="{23AE55E1-5EB5-4D4B-9E99-560EF6CB3AE9}" name="Actual Collection"/>
    <tableColumn id="7" xr3:uid="{8157435C-4250-47FB-A5C5-DBA4E3C31DFB}" name="Overdue 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17761-5958-4FE0-8370-B9B276DFE361}">
  <dimension ref="A1"/>
  <sheetViews>
    <sheetView tabSelected="1" workbookViewId="0">
      <selection activeCell="Q6" sqref="Q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BCF88-29EB-48F8-B0B8-1803F3ED457B}">
  <dimension ref="B3:K17"/>
  <sheetViews>
    <sheetView workbookViewId="0">
      <selection activeCell="J9" sqref="J9"/>
    </sheetView>
  </sheetViews>
  <sheetFormatPr defaultRowHeight="14.4" x14ac:dyDescent="0.3"/>
  <cols>
    <col min="2" max="2" width="12.44140625" bestFit="1" customWidth="1"/>
    <col min="3" max="3" width="15.6640625" bestFit="1" customWidth="1"/>
    <col min="4" max="4" width="15.88671875" bestFit="1" customWidth="1"/>
    <col min="6" max="6" width="12.44140625" bestFit="1" customWidth="1"/>
    <col min="7" max="7" width="15.21875" bestFit="1" customWidth="1"/>
    <col min="8" max="8" width="15.44140625" bestFit="1" customWidth="1"/>
    <col min="10" max="10" width="12.44140625" bestFit="1" customWidth="1"/>
    <col min="11" max="11" width="12.88671875" bestFit="1" customWidth="1"/>
  </cols>
  <sheetData>
    <row r="3" spans="2:11" x14ac:dyDescent="0.3">
      <c r="F3" s="3" t="s">
        <v>8</v>
      </c>
      <c r="G3" t="s">
        <v>23</v>
      </c>
      <c r="H3" t="s">
        <v>24</v>
      </c>
      <c r="J3" s="3" t="s">
        <v>8</v>
      </c>
      <c r="K3" t="s">
        <v>25</v>
      </c>
    </row>
    <row r="4" spans="2:11" x14ac:dyDescent="0.3">
      <c r="B4" s="3" t="s">
        <v>8</v>
      </c>
      <c r="C4" t="s">
        <v>21</v>
      </c>
      <c r="D4" t="s">
        <v>22</v>
      </c>
      <c r="F4" s="4" t="s">
        <v>10</v>
      </c>
      <c r="G4" s="5">
        <v>120000</v>
      </c>
      <c r="H4" s="5">
        <v>118500</v>
      </c>
      <c r="J4" s="4" t="s">
        <v>10</v>
      </c>
      <c r="K4" s="5">
        <v>1500</v>
      </c>
    </row>
    <row r="5" spans="2:11" x14ac:dyDescent="0.3">
      <c r="B5" s="4" t="s">
        <v>10</v>
      </c>
      <c r="C5" s="5">
        <v>550000</v>
      </c>
      <c r="D5" s="5">
        <v>500000</v>
      </c>
      <c r="F5" s="4" t="s">
        <v>11</v>
      </c>
      <c r="G5" s="5">
        <v>130000</v>
      </c>
      <c r="H5" s="5">
        <v>128000</v>
      </c>
      <c r="J5" s="4" t="s">
        <v>11</v>
      </c>
      <c r="K5" s="5">
        <v>2000</v>
      </c>
    </row>
    <row r="6" spans="2:11" x14ac:dyDescent="0.3">
      <c r="B6" s="4" t="s">
        <v>11</v>
      </c>
      <c r="C6" s="5">
        <v>600000</v>
      </c>
      <c r="D6" s="5">
        <v>550000</v>
      </c>
      <c r="F6" s="4" t="s">
        <v>12</v>
      </c>
      <c r="G6" s="5">
        <v>145000</v>
      </c>
      <c r="H6" s="5">
        <v>143200</v>
      </c>
      <c r="J6" s="4" t="s">
        <v>12</v>
      </c>
      <c r="K6" s="5">
        <v>1800</v>
      </c>
    </row>
    <row r="7" spans="2:11" x14ac:dyDescent="0.3">
      <c r="B7" s="4" t="s">
        <v>12</v>
      </c>
      <c r="C7" s="5">
        <v>620000</v>
      </c>
      <c r="D7" s="5">
        <v>600000</v>
      </c>
      <c r="F7" s="4" t="s">
        <v>13</v>
      </c>
      <c r="G7" s="5">
        <v>150000</v>
      </c>
      <c r="H7" s="5">
        <v>145500</v>
      </c>
      <c r="J7" s="4" t="s">
        <v>13</v>
      </c>
      <c r="K7" s="5">
        <v>4500</v>
      </c>
    </row>
    <row r="8" spans="2:11" x14ac:dyDescent="0.3">
      <c r="B8" s="4" t="s">
        <v>13</v>
      </c>
      <c r="C8" s="5">
        <v>500000</v>
      </c>
      <c r="D8" s="5">
        <v>450000</v>
      </c>
      <c r="F8" s="4" t="s">
        <v>7</v>
      </c>
      <c r="G8" s="5">
        <v>155000</v>
      </c>
      <c r="H8" s="5">
        <v>153800</v>
      </c>
      <c r="J8" s="4" t="s">
        <v>7</v>
      </c>
      <c r="K8" s="5">
        <v>1200</v>
      </c>
    </row>
    <row r="9" spans="2:11" x14ac:dyDescent="0.3">
      <c r="B9" s="4" t="s">
        <v>7</v>
      </c>
      <c r="C9" s="5">
        <v>600000</v>
      </c>
      <c r="D9" s="5">
        <v>580000</v>
      </c>
      <c r="F9" s="4" t="s">
        <v>14</v>
      </c>
      <c r="G9" s="5">
        <v>165000</v>
      </c>
      <c r="H9" s="5">
        <v>162000</v>
      </c>
      <c r="J9" s="4" t="s">
        <v>14</v>
      </c>
      <c r="K9" s="5">
        <v>3000</v>
      </c>
    </row>
    <row r="10" spans="2:11" x14ac:dyDescent="0.3">
      <c r="B10" s="4" t="s">
        <v>14</v>
      </c>
      <c r="C10" s="5">
        <v>650000</v>
      </c>
      <c r="D10" s="5">
        <v>620000</v>
      </c>
      <c r="F10" s="4" t="s">
        <v>15</v>
      </c>
      <c r="G10" s="5">
        <v>170000</v>
      </c>
      <c r="H10" s="5">
        <v>166000</v>
      </c>
      <c r="J10" s="4" t="s">
        <v>15</v>
      </c>
      <c r="K10" s="5">
        <v>4000</v>
      </c>
    </row>
    <row r="11" spans="2:11" x14ac:dyDescent="0.3">
      <c r="B11" s="4" t="s">
        <v>15</v>
      </c>
      <c r="C11" s="5">
        <v>550000</v>
      </c>
      <c r="D11" s="5">
        <v>500000</v>
      </c>
      <c r="F11" s="4" t="s">
        <v>16</v>
      </c>
      <c r="G11" s="5">
        <v>175000</v>
      </c>
      <c r="H11" s="5">
        <v>173900</v>
      </c>
      <c r="J11" s="4" t="s">
        <v>16</v>
      </c>
      <c r="K11" s="5">
        <v>1100</v>
      </c>
    </row>
    <row r="12" spans="2:11" x14ac:dyDescent="0.3">
      <c r="B12" s="4" t="s">
        <v>16</v>
      </c>
      <c r="C12" s="5">
        <v>700000</v>
      </c>
      <c r="D12" s="5">
        <v>650000</v>
      </c>
      <c r="F12" s="4" t="s">
        <v>17</v>
      </c>
      <c r="G12" s="5">
        <v>185000</v>
      </c>
      <c r="H12" s="5">
        <v>183000</v>
      </c>
      <c r="J12" s="4" t="s">
        <v>17</v>
      </c>
      <c r="K12" s="5">
        <v>2000</v>
      </c>
    </row>
    <row r="13" spans="2:11" x14ac:dyDescent="0.3">
      <c r="B13" s="4" t="s">
        <v>17</v>
      </c>
      <c r="C13" s="5">
        <v>720000</v>
      </c>
      <c r="D13" s="5">
        <v>700000</v>
      </c>
      <c r="F13" s="4" t="s">
        <v>18</v>
      </c>
      <c r="G13" s="5">
        <v>190000</v>
      </c>
      <c r="H13" s="5">
        <v>188500</v>
      </c>
      <c r="J13" s="4" t="s">
        <v>18</v>
      </c>
      <c r="K13" s="5">
        <v>1500</v>
      </c>
    </row>
    <row r="14" spans="2:11" x14ac:dyDescent="0.3">
      <c r="B14" s="4" t="s">
        <v>18</v>
      </c>
      <c r="C14" s="5">
        <v>750000</v>
      </c>
      <c r="D14" s="5">
        <v>720000</v>
      </c>
      <c r="F14" s="4" t="s">
        <v>19</v>
      </c>
      <c r="G14" s="5">
        <v>195000</v>
      </c>
      <c r="H14" s="5">
        <v>192100</v>
      </c>
      <c r="J14" s="4" t="s">
        <v>19</v>
      </c>
      <c r="K14" s="5">
        <v>2900</v>
      </c>
    </row>
    <row r="15" spans="2:11" x14ac:dyDescent="0.3">
      <c r="B15" s="4" t="s">
        <v>19</v>
      </c>
      <c r="C15" s="5">
        <v>700000</v>
      </c>
      <c r="D15" s="5">
        <v>680000</v>
      </c>
      <c r="F15" s="4" t="s">
        <v>20</v>
      </c>
      <c r="G15" s="5">
        <v>200000</v>
      </c>
      <c r="H15" s="5">
        <v>198800</v>
      </c>
      <c r="J15" s="4" t="s">
        <v>20</v>
      </c>
      <c r="K15" s="5">
        <v>1200</v>
      </c>
    </row>
    <row r="16" spans="2:11" x14ac:dyDescent="0.3">
      <c r="B16" s="4" t="s">
        <v>20</v>
      </c>
      <c r="C16" s="5">
        <v>800000</v>
      </c>
      <c r="D16" s="5">
        <v>750000</v>
      </c>
      <c r="F16" s="4" t="s">
        <v>9</v>
      </c>
      <c r="G16" s="5">
        <v>1980000</v>
      </c>
      <c r="H16" s="5">
        <v>1953300</v>
      </c>
      <c r="J16" s="4" t="s">
        <v>9</v>
      </c>
      <c r="K16" s="5">
        <v>26700</v>
      </c>
    </row>
    <row r="17" spans="2:4" x14ac:dyDescent="0.3">
      <c r="B17" s="4" t="s">
        <v>9</v>
      </c>
      <c r="C17" s="5">
        <v>7740000</v>
      </c>
      <c r="D17" s="5">
        <v>7300000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BCAD9-7293-4D9B-8C5D-E815E593D8EE}">
  <dimension ref="A1:G13"/>
  <sheetViews>
    <sheetView workbookViewId="0"/>
  </sheetViews>
  <sheetFormatPr defaultRowHeight="14.4" x14ac:dyDescent="0.3"/>
  <cols>
    <col min="1" max="1" width="11.33203125" bestFit="1" customWidth="1"/>
    <col min="2" max="2" width="21.109375" bestFit="1" customWidth="1"/>
    <col min="3" max="3" width="23.77734375" bestFit="1" customWidth="1"/>
    <col min="4" max="4" width="24" bestFit="1" customWidth="1"/>
    <col min="5" max="5" width="21.109375" bestFit="1" customWidth="1"/>
    <col min="6" max="6" width="21.33203125" bestFit="1" customWidth="1"/>
    <col min="7" max="7" width="21.109375" bestFit="1" customWidth="1"/>
  </cols>
  <sheetData>
    <row r="1" spans="1:7" s="2" customFormat="1" ht="15.6" x14ac:dyDescent="0.3">
      <c r="A1" s="2" t="s">
        <v>0</v>
      </c>
      <c r="B1" s="2" t="s">
        <v>1</v>
      </c>
      <c r="C1" s="2" t="s">
        <v>2</v>
      </c>
      <c r="D1" s="2" t="s">
        <v>3</v>
      </c>
      <c r="E1" s="2" t="s">
        <v>4</v>
      </c>
      <c r="F1" s="2" t="s">
        <v>5</v>
      </c>
      <c r="G1" s="2" t="s">
        <v>6</v>
      </c>
    </row>
    <row r="2" spans="1:7" x14ac:dyDescent="0.3">
      <c r="A2" s="1">
        <v>45292</v>
      </c>
      <c r="B2">
        <v>120</v>
      </c>
      <c r="C2">
        <v>550000</v>
      </c>
      <c r="D2">
        <v>500000</v>
      </c>
      <c r="E2">
        <v>120000</v>
      </c>
      <c r="F2">
        <v>118500</v>
      </c>
      <c r="G2">
        <v>1500</v>
      </c>
    </row>
    <row r="3" spans="1:7" x14ac:dyDescent="0.3">
      <c r="A3" s="1">
        <v>45323</v>
      </c>
      <c r="B3">
        <v>125</v>
      </c>
      <c r="C3">
        <v>600000</v>
      </c>
      <c r="D3">
        <v>550000</v>
      </c>
      <c r="E3">
        <v>130000</v>
      </c>
      <c r="F3">
        <v>128000</v>
      </c>
      <c r="G3">
        <v>2000</v>
      </c>
    </row>
    <row r="4" spans="1:7" x14ac:dyDescent="0.3">
      <c r="A4" s="1">
        <v>45352</v>
      </c>
      <c r="B4">
        <v>132</v>
      </c>
      <c r="C4">
        <v>620000</v>
      </c>
      <c r="D4">
        <v>600000</v>
      </c>
      <c r="E4">
        <v>145000</v>
      </c>
      <c r="F4">
        <v>143200</v>
      </c>
      <c r="G4">
        <v>1800</v>
      </c>
    </row>
    <row r="5" spans="1:7" x14ac:dyDescent="0.3">
      <c r="A5" s="1">
        <v>45383</v>
      </c>
      <c r="B5">
        <v>128</v>
      </c>
      <c r="C5">
        <v>500000</v>
      </c>
      <c r="D5">
        <v>450000</v>
      </c>
      <c r="E5">
        <v>150000</v>
      </c>
      <c r="F5">
        <v>145500</v>
      </c>
      <c r="G5">
        <v>4500</v>
      </c>
    </row>
    <row r="6" spans="1:7" x14ac:dyDescent="0.3">
      <c r="A6" s="1">
        <v>45413</v>
      </c>
      <c r="B6">
        <v>135</v>
      </c>
      <c r="C6">
        <v>600000</v>
      </c>
      <c r="D6">
        <v>580000</v>
      </c>
      <c r="E6">
        <v>155000</v>
      </c>
      <c r="F6">
        <v>153800</v>
      </c>
      <c r="G6">
        <v>1200</v>
      </c>
    </row>
    <row r="7" spans="1:7" x14ac:dyDescent="0.3">
      <c r="A7" s="1">
        <v>45444</v>
      </c>
      <c r="B7">
        <v>140</v>
      </c>
      <c r="C7">
        <v>650000</v>
      </c>
      <c r="D7">
        <v>620000</v>
      </c>
      <c r="E7">
        <v>165000</v>
      </c>
      <c r="F7">
        <v>162000</v>
      </c>
      <c r="G7">
        <v>3000</v>
      </c>
    </row>
    <row r="8" spans="1:7" x14ac:dyDescent="0.3">
      <c r="A8" s="1">
        <v>45474</v>
      </c>
      <c r="B8">
        <v>138</v>
      </c>
      <c r="C8">
        <v>550000</v>
      </c>
      <c r="D8">
        <v>500000</v>
      </c>
      <c r="E8">
        <v>170000</v>
      </c>
      <c r="F8">
        <v>166000</v>
      </c>
      <c r="G8">
        <v>4000</v>
      </c>
    </row>
    <row r="9" spans="1:7" x14ac:dyDescent="0.3">
      <c r="A9" s="1">
        <v>45505</v>
      </c>
      <c r="B9">
        <v>142</v>
      </c>
      <c r="C9">
        <v>700000</v>
      </c>
      <c r="D9">
        <v>650000</v>
      </c>
      <c r="E9">
        <v>175000</v>
      </c>
      <c r="F9">
        <v>173900</v>
      </c>
      <c r="G9">
        <v>1100</v>
      </c>
    </row>
    <row r="10" spans="1:7" x14ac:dyDescent="0.3">
      <c r="A10" s="1">
        <v>45536</v>
      </c>
      <c r="B10">
        <v>148</v>
      </c>
      <c r="C10">
        <v>720000</v>
      </c>
      <c r="D10">
        <v>700000</v>
      </c>
      <c r="E10">
        <v>185000</v>
      </c>
      <c r="F10">
        <v>183000</v>
      </c>
      <c r="G10">
        <v>2000</v>
      </c>
    </row>
    <row r="11" spans="1:7" x14ac:dyDescent="0.3">
      <c r="A11" s="1">
        <v>45566</v>
      </c>
      <c r="B11">
        <v>152</v>
      </c>
      <c r="C11">
        <v>750000</v>
      </c>
      <c r="D11">
        <v>720000</v>
      </c>
      <c r="E11">
        <v>190000</v>
      </c>
      <c r="F11">
        <v>188500</v>
      </c>
      <c r="G11">
        <v>1500</v>
      </c>
    </row>
    <row r="12" spans="1:7" x14ac:dyDescent="0.3">
      <c r="A12" s="1">
        <v>45597</v>
      </c>
      <c r="B12">
        <v>150</v>
      </c>
      <c r="C12">
        <v>700000</v>
      </c>
      <c r="D12">
        <v>680000</v>
      </c>
      <c r="E12">
        <v>195000</v>
      </c>
      <c r="F12">
        <v>192100</v>
      </c>
      <c r="G12">
        <v>2900</v>
      </c>
    </row>
    <row r="13" spans="1:7" x14ac:dyDescent="0.3">
      <c r="A13" s="1">
        <v>45627</v>
      </c>
      <c r="B13">
        <v>155</v>
      </c>
      <c r="C13">
        <v>800000</v>
      </c>
      <c r="D13">
        <v>750000</v>
      </c>
      <c r="E13">
        <v>200000</v>
      </c>
      <c r="F13">
        <v>198800</v>
      </c>
      <c r="G13">
        <v>1200</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97C8142E-F845-4983-9B34-64D2166B25C9}">
  <ds:schemaRefs/>
</ds:datastoreItem>
</file>

<file path=customXml/itemProps2.xml><?xml version="1.0" encoding="utf-8"?>
<ds:datastoreItem xmlns:ds="http://schemas.openxmlformats.org/officeDocument/2006/customXml" ds:itemID="{66F0D405-BDDA-46A9-889B-9EFEB5E85F98}">
  <ds:schemaRefs/>
</ds:datastoreItem>
</file>

<file path=customXml/itemProps3.xml><?xml version="1.0" encoding="utf-8"?>
<ds:datastoreItem xmlns:ds="http://schemas.openxmlformats.org/officeDocument/2006/customXml" ds:itemID="{464ACE89-498F-4D41-88A7-EC72F1550E2F}">
  <ds:schemaRefs/>
</ds:datastoreItem>
</file>

<file path=customXml/itemProps4.xml><?xml version="1.0" encoding="utf-8"?>
<ds:datastoreItem xmlns:ds="http://schemas.openxmlformats.org/officeDocument/2006/customXml" ds:itemID="{0497EB59-083B-4346-BE24-830744AF0EDE}">
  <ds:schemaRefs/>
</ds:datastoreItem>
</file>

<file path=customXml/itemProps5.xml><?xml version="1.0" encoding="utf-8"?>
<ds:datastoreItem xmlns:ds="http://schemas.openxmlformats.org/officeDocument/2006/customXml" ds:itemID="{AD3A8964-05A5-4B72-8FA2-D603A6E9B6FB}">
  <ds:schemaRefs/>
</ds:datastoreItem>
</file>

<file path=customXml/itemProps6.xml><?xml version="1.0" encoding="utf-8"?>
<ds:datastoreItem xmlns:ds="http://schemas.openxmlformats.org/officeDocument/2006/customXml" ds:itemID="{34BF70DF-5A7E-4FFF-A35C-C77B62C0547C}">
  <ds:schemaRefs/>
</ds:datastoreItem>
</file>

<file path=customXml/itemProps7.xml><?xml version="1.0" encoding="utf-8"?>
<ds:datastoreItem xmlns:ds="http://schemas.openxmlformats.org/officeDocument/2006/customXml" ds:itemID="{2F3E2501-B910-4073-975B-B06DBBF65BB5}">
  <ds:schemaRefs/>
</ds:datastoreItem>
</file>

<file path=customXml/itemProps8.xml><?xml version="1.0" encoding="utf-8"?>
<ds:datastoreItem xmlns:ds="http://schemas.openxmlformats.org/officeDocument/2006/customXml" ds:itemID="{174700EA-BE92-4D58-9FB9-8471B6A068F9}">
  <ds:schemaRefs/>
</ds:datastoreItem>
</file>

<file path=customXml/itemProps9.xml><?xml version="1.0" encoding="utf-8"?>
<ds:datastoreItem xmlns:ds="http://schemas.openxmlformats.org/officeDocument/2006/customXml" ds:itemID="{770857AB-BF0C-45A7-97DD-FF18133E76C0}">
  <ds:schemaRefs/>
</ds:datastoreItem>
</file>

<file path=customXml/itemProps10.xml><?xml version="1.0" encoding="utf-8"?>
<ds:datastoreItem xmlns:ds="http://schemas.openxmlformats.org/officeDocument/2006/customXml" ds:itemID="{FF215BE5-C751-4C99-822D-E09B889C0D0C}">
  <ds:schemaRefs/>
</ds:datastoreItem>
</file>

<file path=customXml/itemProps11.xml><?xml version="1.0" encoding="utf-8"?>
<ds:datastoreItem xmlns:ds="http://schemas.openxmlformats.org/officeDocument/2006/customXml" ds:itemID="{9CD5D608-062F-4772-BF70-0D7BB5495C59}">
  <ds:schemaRefs/>
</ds:datastoreItem>
</file>

<file path=customXml/itemProps12.xml><?xml version="1.0" encoding="utf-8"?>
<ds:datastoreItem xmlns:ds="http://schemas.openxmlformats.org/officeDocument/2006/customXml" ds:itemID="{ED750423-2357-4E2B-AFF0-F9AF4F3F7AE5}">
  <ds:schemaRefs/>
</ds:datastoreItem>
</file>

<file path=customXml/itemProps13.xml><?xml version="1.0" encoding="utf-8"?>
<ds:datastoreItem xmlns:ds="http://schemas.openxmlformats.org/officeDocument/2006/customXml" ds:itemID="{2CAD091A-3279-4844-B1B5-EF0E5BD99EF9}">
  <ds:schemaRefs/>
</ds:datastoreItem>
</file>

<file path=customXml/itemProps14.xml><?xml version="1.0" encoding="utf-8"?>
<ds:datastoreItem xmlns:ds="http://schemas.openxmlformats.org/officeDocument/2006/customXml" ds:itemID="{ED54E833-F4E7-466E-B9E9-9A1F81EE0837}">
  <ds:schemaRefs/>
</ds:datastoreItem>
</file>

<file path=customXml/itemProps15.xml><?xml version="1.0" encoding="utf-8"?>
<ds:datastoreItem xmlns:ds="http://schemas.openxmlformats.org/officeDocument/2006/customXml" ds:itemID="{E1BA3552-2EC4-47F1-979F-4E515D3B571D}">
  <ds:schemaRefs/>
</ds:datastoreItem>
</file>

<file path=customXml/itemProps16.xml><?xml version="1.0" encoding="utf-8"?>
<ds:datastoreItem xmlns:ds="http://schemas.openxmlformats.org/officeDocument/2006/customXml" ds:itemID="{12CAF541-EC5D-4495-9B17-A256116DAF65}">
  <ds:schemaRefs/>
</ds:datastoreItem>
</file>

<file path=customXml/itemProps17.xml><?xml version="1.0" encoding="utf-8"?>
<ds:datastoreItem xmlns:ds="http://schemas.openxmlformats.org/officeDocument/2006/customXml" ds:itemID="{0030133F-F602-488F-85AD-BB6EAB67BCAD}">
  <ds:schemaRefs/>
</ds:datastoreItem>
</file>

<file path=customXml/itemProps18.xml><?xml version="1.0" encoding="utf-8"?>
<ds:datastoreItem xmlns:ds="http://schemas.openxmlformats.org/officeDocument/2006/customXml" ds:itemID="{1A4AFA66-F376-4156-8C6D-3FB17C7C34C6}">
  <ds:schemaRefs/>
</ds:datastoreItem>
</file>

<file path=customXml/itemProps19.xml><?xml version="1.0" encoding="utf-8"?>
<ds:datastoreItem xmlns:ds="http://schemas.openxmlformats.org/officeDocument/2006/customXml" ds:itemID="{3F8672B3-325F-47E4-B532-91A56A88875B}">
  <ds:schemaRefs/>
</ds:datastoreItem>
</file>

<file path=customXml/itemProps20.xml><?xml version="1.0" encoding="utf-8"?>
<ds:datastoreItem xmlns:ds="http://schemas.openxmlformats.org/officeDocument/2006/customXml" ds:itemID="{6DA4408F-C6D9-4D40-92AB-0C6E73DC59B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Field Data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ashrafi.khanam94@gmail.com</dc:creator>
  <cp:lastModifiedBy>ashrafi.khanam94@gmail.com</cp:lastModifiedBy>
  <dcterms:created xsi:type="dcterms:W3CDTF">2026-06-21T15:12:30Z</dcterms:created>
  <dcterms:modified xsi:type="dcterms:W3CDTF">2026-06-22T07:11:14Z</dcterms:modified>
</cp:coreProperties>
</file>